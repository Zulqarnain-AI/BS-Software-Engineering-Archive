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pakistan\Desktop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Sheet1!$B$3:$F$21</definedName>
  </definedNames>
  <calcPr calcId="152511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8" i="1" l="1"/>
  <c r="AB9" i="1"/>
  <c r="AB10" i="1"/>
  <c r="AB11" i="1"/>
  <c r="AB12" i="1"/>
  <c r="AB7" i="1"/>
  <c r="V10" i="1"/>
  <c r="V11" i="1"/>
  <c r="V13" i="1"/>
  <c r="V14" i="1"/>
  <c r="V15" i="1"/>
  <c r="V9" i="1"/>
  <c r="U10" i="1"/>
  <c r="U11" i="1"/>
  <c r="U13" i="1"/>
  <c r="U14" i="1"/>
  <c r="U15" i="1"/>
  <c r="U9" i="1"/>
  <c r="T10" i="1"/>
  <c r="T11" i="1"/>
  <c r="T13" i="1"/>
  <c r="T14" i="1"/>
  <c r="T15" i="1"/>
  <c r="T9" i="1"/>
  <c r="S10" i="1"/>
  <c r="S11" i="1"/>
  <c r="S12" i="1"/>
  <c r="T12" i="1" s="1"/>
  <c r="U12" i="1" s="1"/>
  <c r="S13" i="1"/>
  <c r="S14" i="1"/>
  <c r="S15" i="1"/>
  <c r="S9" i="1"/>
  <c r="V12" i="1" l="1"/>
</calcChain>
</file>

<file path=xl/sharedStrings.xml><?xml version="1.0" encoding="utf-8"?>
<sst xmlns="http://schemas.openxmlformats.org/spreadsheetml/2006/main" count="62" uniqueCount="42">
  <si>
    <t>postcod</t>
  </si>
  <si>
    <t>sales_Rep_ID</t>
  </si>
  <si>
    <t>sales_Rep_name</t>
  </si>
  <si>
    <t>john</t>
  </si>
  <si>
    <t>jane</t>
  </si>
  <si>
    <t>Ashish</t>
  </si>
  <si>
    <t>year</t>
  </si>
  <si>
    <t>Value</t>
  </si>
  <si>
    <t>34345,23</t>
  </si>
  <si>
    <t>123,456,7</t>
  </si>
  <si>
    <t>Row Labels</t>
  </si>
  <si>
    <t>Grand Total</t>
  </si>
  <si>
    <t>Column Labels</t>
  </si>
  <si>
    <t>(All)</t>
  </si>
  <si>
    <t>Sum of Value</t>
  </si>
  <si>
    <t>IICT Lab Report 12</t>
  </si>
  <si>
    <t>NATIONAL UNIVERSITY OF MODERN LUNGUAGES ISLAMABAD RESULT CARD</t>
  </si>
  <si>
    <t>Roll NO   SP21378</t>
  </si>
  <si>
    <t>Serial.NO</t>
  </si>
  <si>
    <t>Subject</t>
  </si>
  <si>
    <t>Total mark</t>
  </si>
  <si>
    <t>Obtain mark in mid term</t>
  </si>
  <si>
    <t xml:space="preserve">Obtain mark in internal </t>
  </si>
  <si>
    <t>Obtain mark in final term</t>
  </si>
  <si>
    <t>total obtain mark</t>
  </si>
  <si>
    <t>Precentage</t>
  </si>
  <si>
    <t>Grade</t>
  </si>
  <si>
    <t>remark</t>
  </si>
  <si>
    <t>Accounting</t>
  </si>
  <si>
    <t xml:space="preserve">English </t>
  </si>
  <si>
    <t>Islamyat</t>
  </si>
  <si>
    <t>PF</t>
  </si>
  <si>
    <t>IICT</t>
  </si>
  <si>
    <t>Applied physics</t>
  </si>
  <si>
    <t>Total</t>
  </si>
  <si>
    <t>TASK NO # 01</t>
  </si>
  <si>
    <t>TASK NO # 03</t>
  </si>
  <si>
    <t>TOTAL MARKS</t>
  </si>
  <si>
    <t>TOTAL OBTAIN MARKS</t>
  </si>
  <si>
    <t>SE.NO</t>
  </si>
  <si>
    <t>TASK NO #02</t>
  </si>
  <si>
    <t>NAME  Zulqarnain 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</si>
</sst>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4" xfId="0" pivotButton="1" applyBorder="1"/>
    <xf numFmtId="0" fontId="0" fillId="0" borderId="0" xfId="0" applyNumberFormat="1" applyBorder="1"/>
    <xf numFmtId="0" fontId="0" fillId="0" borderId="17" xfId="0" applyNumberFormat="1" applyBorder="1"/>
    <xf numFmtId="0" fontId="0" fillId="0" borderId="15" xfId="0" applyNumberFormat="1" applyBorder="1"/>
    <xf numFmtId="0" fontId="0" fillId="0" borderId="18" xfId="0" applyNumberFormat="1" applyBorder="1"/>
    <xf numFmtId="0" fontId="0" fillId="0" borderId="4" xfId="0" applyBorder="1"/>
    <xf numFmtId="0" fontId="0" fillId="0" borderId="7" xfId="0" applyBorder="1" applyAlignment="1">
      <alignment horizontal="left"/>
    </xf>
    <xf numFmtId="3" fontId="0" fillId="0" borderId="8" xfId="0" applyNumberFormat="1" applyBorder="1"/>
    <xf numFmtId="0" fontId="0" fillId="0" borderId="9" xfId="0" applyBorder="1" applyAlignment="1">
      <alignment horizontal="left"/>
    </xf>
    <xf numFmtId="3" fontId="0" fillId="0" borderId="10" xfId="0" applyNumberFormat="1" applyBorder="1"/>
    <xf numFmtId="0" fontId="0" fillId="0" borderId="19" xfId="0" pivotButton="1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/>
    <xf numFmtId="10" fontId="0" fillId="0" borderId="3" xfId="0" applyNumberFormat="1" applyBorder="1"/>
    <xf numFmtId="10" fontId="0" fillId="0" borderId="3" xfId="0" applyNumberFormat="1" applyBorder="1" applyAlignmen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2" xfId="0" applyBorder="1"/>
    <xf numFmtId="0" fontId="0" fillId="0" borderId="12" xfId="0" pivotButton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6" xfId="0" applyNumberFormat="1" applyBorder="1"/>
    <xf numFmtId="0" fontId="0" fillId="0" borderId="3" xfId="0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14" xfId="0" applyNumberFormat="1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</cellXfs>
  <cellStyles count="1">
    <cellStyle name="Normal" xfId="0" builtinId="0"/>
  </cellStyles>
  <dxfs count="41"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bottom style="medium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bottom style="medium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bottom style="medium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bottom style="medium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Sheet1!$AA$6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Sheet1!$AA$7:$AA$12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</c:ser>
        <c:ser>
          <c:idx val="1"/>
          <c:order val="1"/>
          <c:tx>
            <c:strRef>
              <c:f>Sheet1!$AB$6</c:f>
              <c:strCache>
                <c:ptCount val="1"/>
                <c:pt idx="0">
                  <c:v>TOTAL OBTAIN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Sheet1!$AB$7:$AB$12</c:f>
              <c:numCache>
                <c:formatCode>General</c:formatCode>
                <c:ptCount val="6"/>
                <c:pt idx="0">
                  <c:v>83</c:v>
                </c:pt>
                <c:pt idx="1">
                  <c:v>36</c:v>
                </c:pt>
                <c:pt idx="2">
                  <c:v>87</c:v>
                </c:pt>
                <c:pt idx="3">
                  <c:v>43</c:v>
                </c:pt>
                <c:pt idx="4">
                  <c:v>76</c:v>
                </c:pt>
                <c:pt idx="5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608720"/>
        <c:axId val="311609112"/>
      </c:barChart>
      <c:catAx>
        <c:axId val="311608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09112"/>
        <c:crosses val="autoZero"/>
        <c:auto val="1"/>
        <c:lblAlgn val="ctr"/>
        <c:lblOffset val="100"/>
        <c:noMultiLvlLbl val="0"/>
      </c:catAx>
      <c:valAx>
        <c:axId val="31160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581025</xdr:colOff>
      <xdr:row>3</xdr:row>
      <xdr:rowOff>33337</xdr:rowOff>
    </xdr:from>
    <xdr:to>
      <xdr:col>36</xdr:col>
      <xdr:colOff>276225</xdr:colOff>
      <xdr:row>17</xdr:row>
      <xdr:rowOff>33337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kistan" refreshedDate="44719.601748032408" createdVersion="5" refreshedVersion="5" minRefreshableVersion="3" recordCount="18">
  <cacheSource type="worksheet">
    <worksheetSource ref="B3:F21" sheet="Sheet1"/>
  </cacheSource>
  <cacheFields count="5">
    <cacheField name="postcod" numFmtId="0">
      <sharedItems containsSemiMixedTypes="0" containsString="0" containsNumber="1" containsInteger="1" minValue="2025" maxValue="2204" count="18">
        <n v="2121"/>
        <n v="2092"/>
        <n v="2128"/>
        <n v="2073"/>
        <n v="2134"/>
        <n v="2162"/>
        <n v="2093"/>
        <n v="2042"/>
        <n v="2198"/>
        <n v="2043"/>
        <n v="2025"/>
        <n v="2045"/>
        <n v="2090"/>
        <n v="2114"/>
        <n v="2142"/>
        <n v="2062"/>
        <n v="2059"/>
        <n v="2204"/>
      </sharedItems>
    </cacheField>
    <cacheField name="sales_Rep_ID" numFmtId="0">
      <sharedItems containsSemiMixedTypes="0" containsString="0" containsNumber="1" containsInteger="1" minValue="123" maxValue="789"/>
    </cacheField>
    <cacheField name="sales_Rep_name" numFmtId="0">
      <sharedItems count="3">
        <s v="john"/>
        <s v="jane"/>
        <s v="Ashish"/>
      </sharedItems>
    </cacheField>
    <cacheField name="year" numFmtId="0">
      <sharedItems containsSemiMixedTypes="0" containsString="0" containsNumber="1" containsInteger="1" minValue="2011" maxValue="2013" count="3">
        <n v="2011"/>
        <n v="2012"/>
        <n v="2013"/>
      </sharedItems>
    </cacheField>
    <cacheField name="Value" numFmtId="0">
      <sharedItems containsBlank="1" containsMixedTypes="1" containsNumber="1" minValue="235.2345" maxValue="3445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n v="123"/>
    <x v="0"/>
    <x v="0"/>
    <n v="234567"/>
  </r>
  <r>
    <x v="1"/>
    <n v="456"/>
    <x v="1"/>
    <x v="1"/>
    <n v="2345"/>
  </r>
  <r>
    <x v="2"/>
    <n v="789"/>
    <x v="2"/>
    <x v="2"/>
    <n v="235.2345"/>
  </r>
  <r>
    <x v="3"/>
    <n v="789"/>
    <x v="2"/>
    <x v="0"/>
    <s v="34345,23"/>
  </r>
  <r>
    <x v="4"/>
    <n v="456"/>
    <x v="1"/>
    <x v="1"/>
    <n v="245"/>
  </r>
  <r>
    <x v="5"/>
    <n v="456"/>
    <x v="1"/>
    <x v="2"/>
    <n v="234456"/>
  </r>
  <r>
    <x v="6"/>
    <n v="456"/>
    <x v="1"/>
    <x v="0"/>
    <n v="900665"/>
  </r>
  <r>
    <x v="7"/>
    <n v="456"/>
    <x v="1"/>
    <x v="1"/>
    <n v="234567"/>
  </r>
  <r>
    <x v="8"/>
    <n v="123"/>
    <x v="0"/>
    <x v="2"/>
    <s v="123,456,7"/>
  </r>
  <r>
    <x v="9"/>
    <n v="456"/>
    <x v="1"/>
    <x v="0"/>
    <n v="143456"/>
  </r>
  <r>
    <x v="10"/>
    <n v="456"/>
    <x v="1"/>
    <x v="1"/>
    <n v="234678"/>
  </r>
  <r>
    <x v="11"/>
    <n v="123"/>
    <x v="0"/>
    <x v="2"/>
    <n v="3445456"/>
  </r>
  <r>
    <x v="12"/>
    <n v="456"/>
    <x v="1"/>
    <x v="1"/>
    <n v="2345674"/>
  </r>
  <r>
    <x v="13"/>
    <n v="456"/>
    <x v="1"/>
    <x v="0"/>
    <n v="2345"/>
  </r>
  <r>
    <x v="14"/>
    <n v="456"/>
    <x v="1"/>
    <x v="2"/>
    <n v="23456"/>
  </r>
  <r>
    <x v="15"/>
    <n v="789"/>
    <x v="2"/>
    <x v="0"/>
    <n v="3432"/>
  </r>
  <r>
    <x v="16"/>
    <n v="456"/>
    <x v="1"/>
    <x v="2"/>
    <m/>
  </r>
  <r>
    <x v="17"/>
    <n v="123"/>
    <x v="0"/>
    <x v="0"/>
    <n v="5462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3:K7" firstHeaderRow="1" firstDataRow="2" firstDataCol="1" rowPageCount="1" colPageCount="1"/>
  <pivotFields count="5">
    <pivotField axis="axisPage" showAll="0">
      <items count="19">
        <item x="10"/>
        <item x="7"/>
        <item x="9"/>
        <item x="11"/>
        <item x="16"/>
        <item x="15"/>
        <item x="3"/>
        <item x="12"/>
        <item x="1"/>
        <item x="6"/>
        <item x="13"/>
        <item x="0"/>
        <item x="2"/>
        <item x="4"/>
        <item x="14"/>
        <item x="5"/>
        <item x="8"/>
        <item x="17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Value" fld="4" baseField="0" baseItem="0"/>
  </dataFields>
  <formats count="7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Col="1" outline="0" fieldPosition="0"/>
    </format>
    <format dxfId="34">
      <pivotArea field="0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2"/>
  <sheetViews>
    <sheetView tabSelected="1" workbookViewId="0">
      <selection activeCell="G19" sqref="G19"/>
    </sheetView>
  </sheetViews>
  <sheetFormatPr defaultRowHeight="15" x14ac:dyDescent="0.25"/>
  <cols>
    <col min="2" max="2" width="12.7109375" bestFit="1" customWidth="1"/>
    <col min="3" max="3" width="16" bestFit="1" customWidth="1"/>
    <col min="5" max="5" width="11.140625" bestFit="1" customWidth="1"/>
    <col min="7" max="7" width="13.140625" customWidth="1"/>
    <col min="8" max="8" width="16.28515625" bestFit="1" customWidth="1"/>
    <col min="9" max="9" width="8" customWidth="1"/>
    <col min="10" max="10" width="7" customWidth="1"/>
    <col min="11" max="11" width="11.28515625" customWidth="1"/>
    <col min="14" max="14" width="15" bestFit="1" customWidth="1"/>
    <col min="15" max="15" width="10.28515625" bestFit="1" customWidth="1"/>
    <col min="16" max="16" width="23" bestFit="1" customWidth="1"/>
    <col min="17" max="17" width="22.28515625" bestFit="1" customWidth="1"/>
    <col min="18" max="18" width="23.5703125" bestFit="1" customWidth="1"/>
    <col min="19" max="19" width="16.28515625" bestFit="1" customWidth="1"/>
    <col min="20" max="20" width="11" bestFit="1" customWidth="1"/>
    <col min="27" max="27" width="13.42578125" bestFit="1" customWidth="1"/>
    <col min="28" max="28" width="20.85546875" bestFit="1" customWidth="1"/>
  </cols>
  <sheetData>
    <row r="1" spans="2:28" ht="20.25" thickTop="1" thickBot="1" x14ac:dyDescent="0.35">
      <c r="C1" s="37" t="s">
        <v>36</v>
      </c>
      <c r="D1" s="24"/>
      <c r="E1" s="24"/>
      <c r="G1" s="23" t="s">
        <v>0</v>
      </c>
      <c r="H1" s="39" t="s">
        <v>13</v>
      </c>
      <c r="I1" s="8"/>
      <c r="J1" s="8"/>
      <c r="K1" s="9"/>
      <c r="P1" s="1"/>
      <c r="Q1" s="1"/>
    </row>
    <row r="2" spans="2:28" ht="20.25" thickTop="1" thickBot="1" x14ac:dyDescent="0.35">
      <c r="G2" s="10"/>
      <c r="H2" s="11"/>
      <c r="I2" s="11"/>
      <c r="J2" s="11"/>
      <c r="K2" s="12"/>
      <c r="M2" s="36" t="s">
        <v>35</v>
      </c>
      <c r="N2" s="31"/>
      <c r="O2" s="31"/>
      <c r="P2" s="31"/>
      <c r="Q2" s="31"/>
      <c r="R2" s="31"/>
      <c r="S2" s="31"/>
      <c r="T2" s="31"/>
      <c r="U2" s="31"/>
      <c r="V2" s="32"/>
    </row>
    <row r="3" spans="2:28" ht="16.5" thickTop="1" thickBot="1" x14ac:dyDescent="0.3">
      <c r="B3" s="18" t="s">
        <v>0</v>
      </c>
      <c r="C3" s="4" t="s">
        <v>1</v>
      </c>
      <c r="D3" s="4" t="s">
        <v>2</v>
      </c>
      <c r="E3" s="4" t="s">
        <v>6</v>
      </c>
      <c r="F3" s="5" t="s">
        <v>7</v>
      </c>
      <c r="G3" s="7" t="s">
        <v>14</v>
      </c>
      <c r="H3" s="40" t="s">
        <v>12</v>
      </c>
      <c r="I3" s="8"/>
      <c r="J3" s="8"/>
      <c r="K3" s="9"/>
      <c r="M3" s="30" t="s">
        <v>15</v>
      </c>
      <c r="N3" s="31"/>
      <c r="O3" s="31"/>
      <c r="P3" s="31"/>
      <c r="Q3" s="31"/>
      <c r="R3" s="31"/>
      <c r="S3" s="31"/>
      <c r="T3" s="31"/>
      <c r="U3" s="31"/>
      <c r="V3" s="32"/>
    </row>
    <row r="4" spans="2:28" ht="20.25" thickTop="1" thickBot="1" x14ac:dyDescent="0.35">
      <c r="B4" s="19">
        <v>2121</v>
      </c>
      <c r="C4" s="2">
        <v>123</v>
      </c>
      <c r="D4" s="2" t="s">
        <v>3</v>
      </c>
      <c r="E4" s="2">
        <v>2011</v>
      </c>
      <c r="F4" s="20">
        <v>234567</v>
      </c>
      <c r="G4" s="13" t="s">
        <v>10</v>
      </c>
      <c r="H4" s="46" t="s">
        <v>5</v>
      </c>
      <c r="I4" s="47" t="s">
        <v>4</v>
      </c>
      <c r="J4" s="39" t="s">
        <v>3</v>
      </c>
      <c r="K4" s="25" t="s">
        <v>11</v>
      </c>
      <c r="M4" s="27"/>
      <c r="N4" s="27"/>
      <c r="O4" s="27"/>
      <c r="P4" s="27"/>
      <c r="Q4" s="27"/>
      <c r="R4" s="27"/>
      <c r="S4" s="27"/>
      <c r="T4" s="29"/>
      <c r="U4" s="27"/>
      <c r="V4" s="27"/>
      <c r="Z4" s="38" t="s">
        <v>40</v>
      </c>
      <c r="AA4" s="26"/>
      <c r="AB4" s="26"/>
    </row>
    <row r="5" spans="2:28" ht="16.5" thickTop="1" thickBot="1" x14ac:dyDescent="0.3">
      <c r="B5" s="19">
        <v>2092</v>
      </c>
      <c r="C5" s="2">
        <v>456</v>
      </c>
      <c r="D5" s="2" t="s">
        <v>4</v>
      </c>
      <c r="E5" s="2">
        <v>2012</v>
      </c>
      <c r="F5" s="6">
        <v>2345</v>
      </c>
      <c r="G5" s="49">
        <v>2011</v>
      </c>
      <c r="H5" s="41">
        <v>3432</v>
      </c>
      <c r="I5" s="42">
        <v>1046466</v>
      </c>
      <c r="J5" s="42">
        <v>780821</v>
      </c>
      <c r="K5" s="43">
        <v>1830719</v>
      </c>
      <c r="M5" s="33" t="s">
        <v>16</v>
      </c>
      <c r="N5" s="34"/>
      <c r="O5" s="34"/>
      <c r="P5" s="34"/>
      <c r="Q5" s="34"/>
      <c r="R5" s="34"/>
      <c r="S5" s="34"/>
      <c r="T5" s="34"/>
      <c r="U5" s="34"/>
      <c r="V5" s="35"/>
      <c r="Z5" s="25"/>
      <c r="AA5" s="25"/>
      <c r="AB5" s="25"/>
    </row>
    <row r="6" spans="2:28" ht="16.5" thickTop="1" thickBot="1" x14ac:dyDescent="0.3">
      <c r="B6" s="19">
        <v>2128</v>
      </c>
      <c r="C6" s="2">
        <v>789</v>
      </c>
      <c r="D6" s="2" t="s">
        <v>5</v>
      </c>
      <c r="E6" s="2">
        <v>2013</v>
      </c>
      <c r="F6" s="6">
        <v>235.2345</v>
      </c>
      <c r="G6" s="50">
        <v>2012</v>
      </c>
      <c r="H6" s="48"/>
      <c r="I6" s="14">
        <v>2817509</v>
      </c>
      <c r="J6" s="14"/>
      <c r="K6" s="16">
        <v>2817509</v>
      </c>
      <c r="M6" s="30" t="s">
        <v>41</v>
      </c>
      <c r="N6" s="31"/>
      <c r="O6" s="31"/>
      <c r="P6" s="31"/>
      <c r="Q6" s="31"/>
      <c r="R6" s="31"/>
      <c r="S6" s="31"/>
      <c r="T6" s="31"/>
      <c r="U6" s="31"/>
      <c r="V6" s="32"/>
      <c r="Z6" s="25" t="s">
        <v>39</v>
      </c>
      <c r="AA6" s="25" t="s">
        <v>37</v>
      </c>
      <c r="AB6" s="25" t="s">
        <v>38</v>
      </c>
    </row>
    <row r="7" spans="2:28" ht="16.5" thickTop="1" thickBot="1" x14ac:dyDescent="0.3">
      <c r="B7" s="19">
        <v>2073</v>
      </c>
      <c r="C7" s="2">
        <v>789</v>
      </c>
      <c r="D7" s="2" t="s">
        <v>5</v>
      </c>
      <c r="E7" s="2">
        <v>2011</v>
      </c>
      <c r="F7" s="6" t="s">
        <v>8</v>
      </c>
      <c r="G7" s="45" t="s">
        <v>11</v>
      </c>
      <c r="H7" s="44">
        <v>3432</v>
      </c>
      <c r="I7" s="15">
        <v>3863975</v>
      </c>
      <c r="J7" s="15">
        <v>780821</v>
      </c>
      <c r="K7" s="17">
        <v>4648228</v>
      </c>
      <c r="M7" s="30" t="s">
        <v>17</v>
      </c>
      <c r="N7" s="31"/>
      <c r="O7" s="31"/>
      <c r="P7" s="31"/>
      <c r="Q7" s="31"/>
      <c r="R7" s="31"/>
      <c r="S7" s="31"/>
      <c r="T7" s="31"/>
      <c r="U7" s="31"/>
      <c r="V7" s="32"/>
      <c r="Z7" s="25">
        <v>1</v>
      </c>
      <c r="AA7" s="25">
        <v>100</v>
      </c>
      <c r="AB7" s="25">
        <f>(P9+Q9+R9)</f>
        <v>83</v>
      </c>
    </row>
    <row r="8" spans="2:28" ht="16.5" thickTop="1" thickBot="1" x14ac:dyDescent="0.3">
      <c r="B8" s="19">
        <v>2134</v>
      </c>
      <c r="C8" s="2">
        <v>456</v>
      </c>
      <c r="D8" s="2" t="s">
        <v>4</v>
      </c>
      <c r="E8" s="2">
        <v>2012</v>
      </c>
      <c r="F8" s="6">
        <v>245</v>
      </c>
      <c r="M8" s="27" t="s">
        <v>18</v>
      </c>
      <c r="N8" s="27" t="s">
        <v>19</v>
      </c>
      <c r="O8" s="27" t="s">
        <v>20</v>
      </c>
      <c r="P8" s="27" t="s">
        <v>21</v>
      </c>
      <c r="Q8" s="25" t="s">
        <v>22</v>
      </c>
      <c r="R8" s="25" t="s">
        <v>23</v>
      </c>
      <c r="S8" s="25" t="s">
        <v>24</v>
      </c>
      <c r="T8" s="29" t="s">
        <v>25</v>
      </c>
      <c r="U8" s="27" t="s">
        <v>26</v>
      </c>
      <c r="V8" s="27" t="s">
        <v>27</v>
      </c>
      <c r="Z8" s="25">
        <v>2</v>
      </c>
      <c r="AA8" s="25">
        <v>100</v>
      </c>
      <c r="AB8" s="25">
        <f t="shared" ref="AB8:AB12" si="0">(P10+Q10+R10)</f>
        <v>36</v>
      </c>
    </row>
    <row r="9" spans="2:28" ht="16.5" thickTop="1" thickBot="1" x14ac:dyDescent="0.3">
      <c r="B9" s="19">
        <v>2162</v>
      </c>
      <c r="C9" s="2">
        <v>456</v>
      </c>
      <c r="D9" s="2" t="s">
        <v>4</v>
      </c>
      <c r="E9" s="2">
        <v>2013</v>
      </c>
      <c r="F9" s="20">
        <v>234456</v>
      </c>
      <c r="M9" s="25">
        <v>1</v>
      </c>
      <c r="N9" s="25" t="s">
        <v>28</v>
      </c>
      <c r="O9" s="25">
        <v>100</v>
      </c>
      <c r="P9" s="25">
        <v>23</v>
      </c>
      <c r="Q9" s="25">
        <v>30</v>
      </c>
      <c r="R9" s="25">
        <v>30</v>
      </c>
      <c r="S9" s="25">
        <f>(P9+Q9+R9)</f>
        <v>83</v>
      </c>
      <c r="T9" s="28">
        <f>(S9/O9)</f>
        <v>0.83</v>
      </c>
      <c r="U9" s="25" t="str">
        <f>IF(T9&gt;=80%,"A",IF(T9&gt;=70%,"B",IF(T9&gt;=60%,"C",IF(T9&gt;=50%,"D",IF(T9&lt;50%,"F",)))))</f>
        <v>A</v>
      </c>
      <c r="V9" s="25" t="str">
        <f>IF(S9&gt;=50,"pass","fail")</f>
        <v>pass</v>
      </c>
      <c r="Z9" s="25">
        <v>3</v>
      </c>
      <c r="AA9" s="25">
        <v>100</v>
      </c>
      <c r="AB9" s="25">
        <f t="shared" si="0"/>
        <v>87</v>
      </c>
    </row>
    <row r="10" spans="2:28" ht="16.5" thickTop="1" thickBot="1" x14ac:dyDescent="0.3">
      <c r="B10" s="19">
        <v>2093</v>
      </c>
      <c r="C10" s="2">
        <v>456</v>
      </c>
      <c r="D10" s="2" t="s">
        <v>4</v>
      </c>
      <c r="E10" s="2">
        <v>2011</v>
      </c>
      <c r="F10" s="20">
        <v>900665</v>
      </c>
      <c r="M10" s="25">
        <v>2</v>
      </c>
      <c r="N10" s="25" t="s">
        <v>29</v>
      </c>
      <c r="O10" s="25">
        <v>100</v>
      </c>
      <c r="P10" s="25">
        <v>12</v>
      </c>
      <c r="Q10" s="25">
        <v>24</v>
      </c>
      <c r="R10" s="25">
        <v>0</v>
      </c>
      <c r="S10" s="25">
        <f t="shared" ref="S10:S15" si="1">(P10+Q10+R10)</f>
        <v>36</v>
      </c>
      <c r="T10" s="28">
        <f t="shared" ref="T10:T15" si="2">(S10/O10)</f>
        <v>0.36</v>
      </c>
      <c r="U10" s="25" t="str">
        <f t="shared" ref="U10:U15" si="3">IF(T10&gt;=80%,"A",IF(T10&gt;=70%,"B",IF(T10&gt;=60%,"C",IF(T10&gt;=50%,"D",IF(T10&lt;50%,"F",)))))</f>
        <v>F</v>
      </c>
      <c r="V10" s="25" t="str">
        <f t="shared" ref="V10:V15" si="4">IF(S10&gt;=50,"pass","fail")</f>
        <v>fail</v>
      </c>
      <c r="Z10" s="25">
        <v>4</v>
      </c>
      <c r="AA10" s="25">
        <v>100</v>
      </c>
      <c r="AB10" s="25">
        <f t="shared" si="0"/>
        <v>43</v>
      </c>
    </row>
    <row r="11" spans="2:28" ht="16.5" thickTop="1" thickBot="1" x14ac:dyDescent="0.3">
      <c r="B11" s="19">
        <v>2042</v>
      </c>
      <c r="C11" s="2">
        <v>456</v>
      </c>
      <c r="D11" s="2" t="s">
        <v>4</v>
      </c>
      <c r="E11" s="2">
        <v>2012</v>
      </c>
      <c r="F11" s="20">
        <v>234567</v>
      </c>
      <c r="M11" s="25">
        <v>3</v>
      </c>
      <c r="N11" s="25" t="s">
        <v>30</v>
      </c>
      <c r="O11" s="25">
        <v>100</v>
      </c>
      <c r="P11" s="25">
        <v>24</v>
      </c>
      <c r="Q11" s="25">
        <v>27</v>
      </c>
      <c r="R11" s="25">
        <v>36</v>
      </c>
      <c r="S11" s="25">
        <f t="shared" si="1"/>
        <v>87</v>
      </c>
      <c r="T11" s="28">
        <f t="shared" si="2"/>
        <v>0.87</v>
      </c>
      <c r="U11" s="25" t="str">
        <f t="shared" si="3"/>
        <v>A</v>
      </c>
      <c r="V11" s="25" t="str">
        <f t="shared" si="4"/>
        <v>pass</v>
      </c>
      <c r="Z11" s="25">
        <v>5</v>
      </c>
      <c r="AA11" s="25">
        <v>100</v>
      </c>
      <c r="AB11" s="25">
        <f t="shared" si="0"/>
        <v>76</v>
      </c>
    </row>
    <row r="12" spans="2:28" ht="16.5" thickTop="1" thickBot="1" x14ac:dyDescent="0.3">
      <c r="B12" s="19">
        <v>2198</v>
      </c>
      <c r="C12" s="2">
        <v>123</v>
      </c>
      <c r="D12" s="2" t="s">
        <v>3</v>
      </c>
      <c r="E12" s="2">
        <v>2013</v>
      </c>
      <c r="F12" s="6" t="s">
        <v>9</v>
      </c>
      <c r="M12" s="25">
        <v>4</v>
      </c>
      <c r="N12" s="25" t="s">
        <v>31</v>
      </c>
      <c r="O12" s="25">
        <v>100</v>
      </c>
      <c r="P12" s="25">
        <v>25</v>
      </c>
      <c r="Q12" s="25">
        <v>8</v>
      </c>
      <c r="R12" s="25">
        <v>10</v>
      </c>
      <c r="S12" s="25">
        <f t="shared" si="1"/>
        <v>43</v>
      </c>
      <c r="T12" s="28">
        <f t="shared" si="2"/>
        <v>0.43</v>
      </c>
      <c r="U12" s="25" t="str">
        <f t="shared" si="3"/>
        <v>F</v>
      </c>
      <c r="V12" s="25" t="str">
        <f t="shared" si="4"/>
        <v>fail</v>
      </c>
      <c r="Z12" s="25">
        <v>6</v>
      </c>
      <c r="AA12" s="25">
        <v>100</v>
      </c>
      <c r="AB12" s="25">
        <f t="shared" si="0"/>
        <v>83</v>
      </c>
    </row>
    <row r="13" spans="2:28" ht="16.5" thickTop="1" thickBot="1" x14ac:dyDescent="0.3">
      <c r="B13" s="19">
        <v>2043</v>
      </c>
      <c r="C13" s="2">
        <v>456</v>
      </c>
      <c r="D13" s="2" t="s">
        <v>4</v>
      </c>
      <c r="E13" s="2">
        <v>2011</v>
      </c>
      <c r="F13" s="20">
        <v>143456</v>
      </c>
      <c r="M13" s="25">
        <v>5</v>
      </c>
      <c r="N13" s="25" t="s">
        <v>32</v>
      </c>
      <c r="O13" s="25">
        <v>100</v>
      </c>
      <c r="P13" s="25">
        <v>16</v>
      </c>
      <c r="Q13" s="25">
        <v>32</v>
      </c>
      <c r="R13" s="25">
        <v>28</v>
      </c>
      <c r="S13" s="25">
        <f t="shared" si="1"/>
        <v>76</v>
      </c>
      <c r="T13" s="28">
        <f t="shared" si="2"/>
        <v>0.76</v>
      </c>
      <c r="U13" s="25" t="str">
        <f t="shared" si="3"/>
        <v>B</v>
      </c>
      <c r="V13" s="25" t="str">
        <f t="shared" si="4"/>
        <v>pass</v>
      </c>
      <c r="Z13" s="25"/>
      <c r="AA13" s="25"/>
      <c r="AB13" s="25"/>
    </row>
    <row r="14" spans="2:28" ht="16.5" thickTop="1" thickBot="1" x14ac:dyDescent="0.3">
      <c r="B14" s="19">
        <v>2025</v>
      </c>
      <c r="C14" s="2">
        <v>456</v>
      </c>
      <c r="D14" s="2" t="s">
        <v>4</v>
      </c>
      <c r="E14" s="2">
        <v>2012</v>
      </c>
      <c r="F14" s="20">
        <v>234678</v>
      </c>
      <c r="M14" s="25">
        <v>6</v>
      </c>
      <c r="N14" s="25" t="s">
        <v>33</v>
      </c>
      <c r="O14" s="25">
        <v>100</v>
      </c>
      <c r="P14" s="25">
        <v>20</v>
      </c>
      <c r="Q14" s="25">
        <v>25</v>
      </c>
      <c r="R14" s="25">
        <v>38</v>
      </c>
      <c r="S14" s="25">
        <f t="shared" si="1"/>
        <v>83</v>
      </c>
      <c r="T14" s="28">
        <f t="shared" si="2"/>
        <v>0.83</v>
      </c>
      <c r="U14" s="25" t="str">
        <f t="shared" si="3"/>
        <v>A</v>
      </c>
      <c r="V14" s="25" t="str">
        <f t="shared" si="4"/>
        <v>pass</v>
      </c>
    </row>
    <row r="15" spans="2:28" ht="16.5" thickTop="1" thickBot="1" x14ac:dyDescent="0.3">
      <c r="B15" s="19">
        <v>2045</v>
      </c>
      <c r="C15" s="2">
        <v>123</v>
      </c>
      <c r="D15" s="2" t="s">
        <v>3</v>
      </c>
      <c r="E15" s="2">
        <v>2013</v>
      </c>
      <c r="F15" s="20">
        <v>3445456</v>
      </c>
      <c r="M15" s="25">
        <v>7</v>
      </c>
      <c r="N15" s="25" t="s">
        <v>34</v>
      </c>
      <c r="O15" s="25">
        <v>600</v>
      </c>
      <c r="P15" s="25">
        <v>120</v>
      </c>
      <c r="Q15" s="25">
        <v>166</v>
      </c>
      <c r="R15" s="25">
        <v>189</v>
      </c>
      <c r="S15" s="25">
        <f t="shared" si="1"/>
        <v>475</v>
      </c>
      <c r="T15" s="28">
        <f t="shared" si="2"/>
        <v>0.79166666666666663</v>
      </c>
      <c r="U15" s="25" t="str">
        <f t="shared" si="3"/>
        <v>B</v>
      </c>
      <c r="V15" s="25" t="str">
        <f t="shared" si="4"/>
        <v>pass</v>
      </c>
    </row>
    <row r="16" spans="2:28" ht="15.75" thickTop="1" x14ac:dyDescent="0.25">
      <c r="B16" s="19">
        <v>2090</v>
      </c>
      <c r="C16" s="2">
        <v>456</v>
      </c>
      <c r="D16" s="2" t="s">
        <v>4</v>
      </c>
      <c r="E16" s="2">
        <v>2012</v>
      </c>
      <c r="F16" s="20">
        <v>2345674</v>
      </c>
      <c r="S16" s="8"/>
      <c r="T16" s="8"/>
    </row>
    <row r="17" spans="2:19" x14ac:dyDescent="0.25">
      <c r="B17" s="19">
        <v>2114</v>
      </c>
      <c r="C17" s="2">
        <v>456</v>
      </c>
      <c r="D17" s="2" t="s">
        <v>4</v>
      </c>
      <c r="E17" s="2">
        <v>2011</v>
      </c>
      <c r="F17" s="20">
        <v>2345</v>
      </c>
      <c r="S17" s="11"/>
    </row>
    <row r="18" spans="2:19" x14ac:dyDescent="0.25">
      <c r="B18" s="19">
        <v>2142</v>
      </c>
      <c r="C18" s="2">
        <v>456</v>
      </c>
      <c r="D18" s="2" t="s">
        <v>4</v>
      </c>
      <c r="E18" s="2">
        <v>2013</v>
      </c>
      <c r="F18" s="20">
        <v>23456</v>
      </c>
      <c r="S18" s="11"/>
    </row>
    <row r="19" spans="2:19" x14ac:dyDescent="0.25">
      <c r="B19" s="19">
        <v>2062</v>
      </c>
      <c r="C19" s="2">
        <v>789</v>
      </c>
      <c r="D19" s="2" t="s">
        <v>5</v>
      </c>
      <c r="E19" s="2">
        <v>2011</v>
      </c>
      <c r="F19" s="20">
        <v>3432</v>
      </c>
    </row>
    <row r="20" spans="2:19" x14ac:dyDescent="0.25">
      <c r="B20" s="19">
        <v>2059</v>
      </c>
      <c r="C20" s="2">
        <v>456</v>
      </c>
      <c r="D20" s="2" t="s">
        <v>4</v>
      </c>
      <c r="E20" s="2">
        <v>2013</v>
      </c>
      <c r="F20" s="6"/>
    </row>
    <row r="21" spans="2:19" ht="15.75" thickBot="1" x14ac:dyDescent="0.3">
      <c r="B21" s="21">
        <v>2204</v>
      </c>
      <c r="C21" s="3">
        <v>123</v>
      </c>
      <c r="D21" s="3" t="s">
        <v>3</v>
      </c>
      <c r="E21" s="3">
        <v>2011</v>
      </c>
      <c r="F21" s="22">
        <v>546254</v>
      </c>
    </row>
    <row r="22" spans="2:19" ht="15.75" thickTop="1" x14ac:dyDescent="0.25"/>
  </sheetData>
  <mergeCells count="6">
    <mergeCell ref="M6:V6"/>
    <mergeCell ref="M7:V7"/>
    <mergeCell ref="C1:E1"/>
    <mergeCell ref="Z4:AB4"/>
    <mergeCell ref="M2:V2"/>
    <mergeCell ref="M3:V3"/>
  </mergeCells>
  <conditionalFormatting sqref="U9:U15">
    <cfRule type="containsText" dxfId="30" priority="3" operator="containsText" text="f">
      <formula>NOT(ISERROR(SEARCH("f",U9)))</formula>
    </cfRule>
  </conditionalFormatting>
  <conditionalFormatting sqref="T9:T15">
    <cfRule type="cellIs" dxfId="29" priority="2" operator="lessThan">
      <formula>0.5</formula>
    </cfRule>
  </conditionalFormatting>
  <conditionalFormatting sqref="V9:V15">
    <cfRule type="cellIs" dxfId="28" priority="1" operator="equal">
      <formula>"fail"</formula>
    </cfRule>
  </conditionalFormatting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pakistan</dc:creator>
  <cp:lastModifiedBy>pakistan</cp:lastModifiedBy>
  <dcterms:created xsi:type="dcterms:W3CDTF">2022-06-07T08:41:12Z</dcterms:created>
  <dcterms:modified xsi:type="dcterms:W3CDTF">2022-06-07T10:29:14Z</dcterms:modified>
</cp:coreProperties>
</file>