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kista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G14" i="1" l="1"/>
  <c r="F14" i="1"/>
  <c r="E14" i="1"/>
  <c r="D14" i="1"/>
  <c r="H13" i="1"/>
  <c r="I13" i="1" s="1"/>
  <c r="H12" i="1"/>
  <c r="I12" i="1" s="1"/>
  <c r="H11" i="1"/>
  <c r="I11" i="1" s="1"/>
  <c r="I10" i="1"/>
  <c r="H9" i="1"/>
  <c r="I9" i="1" s="1"/>
  <c r="H8" i="1"/>
  <c r="I8" i="1" s="1"/>
  <c r="K10" i="1" l="1"/>
  <c r="J10" i="1"/>
  <c r="K11" i="1"/>
  <c r="J11" i="1"/>
  <c r="K8" i="1"/>
  <c r="J8" i="1"/>
  <c r="K12" i="1"/>
  <c r="J12" i="1"/>
  <c r="K9" i="1"/>
  <c r="J9" i="1"/>
  <c r="K13" i="1"/>
  <c r="J13" i="1"/>
  <c r="H14" i="1"/>
  <c r="I14" i="1" s="1"/>
  <c r="K14" i="1" l="1"/>
  <c r="J14" i="1"/>
</calcChain>
</file>

<file path=xl/sharedStrings.xml><?xml version="1.0" encoding="utf-8"?>
<sst xmlns="http://schemas.openxmlformats.org/spreadsheetml/2006/main" count="21" uniqueCount="21">
  <si>
    <t>IICT Lab Report 12</t>
  </si>
  <si>
    <t>NATIONAL UNIVERSITY OF MODERN LUNGUAGES ISLAMABAD RESULT CARD</t>
  </si>
  <si>
    <t>Subject</t>
  </si>
  <si>
    <t>Total mark</t>
  </si>
  <si>
    <t>Obtain mark in mid term</t>
  </si>
  <si>
    <t xml:space="preserve">Obtain mark in internal </t>
  </si>
  <si>
    <t>Obtain mark in final term</t>
  </si>
  <si>
    <t>total obtain mark</t>
  </si>
  <si>
    <t>Precentage</t>
  </si>
  <si>
    <t>Grade</t>
  </si>
  <si>
    <t>remark</t>
  </si>
  <si>
    <t>Accounting</t>
  </si>
  <si>
    <t xml:space="preserve">English </t>
  </si>
  <si>
    <t>Islamyat</t>
  </si>
  <si>
    <t>PF</t>
  </si>
  <si>
    <t>IICT</t>
  </si>
  <si>
    <t>Applied physics</t>
  </si>
  <si>
    <t>Total</t>
  </si>
  <si>
    <t>Serial.NO</t>
  </si>
  <si>
    <t>NAME   Asim Riaz</t>
  </si>
  <si>
    <t>Roll NO   SP21400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</si>
</sst>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0" fontId="0" fillId="0" borderId="0" xfId="0" applyNumberFormat="1"/>
    <xf numFmtId="10" fontId="0" fillId="0" borderId="0" xfId="0" applyNumberFormat="1" applyAlignment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10" fontId="0" fillId="0" borderId="2" xfId="0" applyNumberFormat="1" applyBorder="1" applyAlignment="1"/>
    <xf numFmtId="10" fontId="0" fillId="0" borderId="2" xfId="0" applyNumberFormat="1" applyBorder="1"/>
    <xf numFmtId="0" fontId="0" fillId="0" borderId="1" xfId="0" applyBorder="1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4"/>
  <sheetViews>
    <sheetView tabSelected="1" topLeftCell="A2" workbookViewId="0">
      <selection activeCell="F12" sqref="F12"/>
    </sheetView>
  </sheetViews>
  <sheetFormatPr defaultRowHeight="15" x14ac:dyDescent="0.25"/>
  <cols>
    <col min="3" max="3" width="15" bestFit="1" customWidth="1"/>
    <col min="4" max="4" width="10.28515625" bestFit="1" customWidth="1"/>
    <col min="5" max="5" width="23" bestFit="1" customWidth="1"/>
    <col min="6" max="6" width="22.28515625" bestFit="1" customWidth="1"/>
    <col min="7" max="7" width="23.5703125" bestFit="1" customWidth="1"/>
    <col min="8" max="8" width="16.28515625" bestFit="1" customWidth="1"/>
    <col min="9" max="9" width="11" bestFit="1" customWidth="1"/>
  </cols>
  <sheetData>
    <row r="1" spans="2:11" x14ac:dyDescent="0.25">
      <c r="F1" s="11"/>
      <c r="G1" s="11"/>
      <c r="H1" s="11"/>
      <c r="I1" s="11"/>
      <c r="J1" s="11"/>
      <c r="K1" s="11"/>
    </row>
    <row r="2" spans="2:11" x14ac:dyDescent="0.25">
      <c r="G2" s="1" t="s">
        <v>0</v>
      </c>
      <c r="H2" s="2"/>
      <c r="I2" s="3"/>
    </row>
    <row r="3" spans="2:11" x14ac:dyDescent="0.25">
      <c r="B3" s="2"/>
      <c r="C3" s="2"/>
      <c r="D3" s="2"/>
      <c r="E3" s="2"/>
      <c r="F3" s="2"/>
      <c r="G3" s="2"/>
      <c r="H3" s="2"/>
      <c r="I3" s="4"/>
      <c r="J3" s="2"/>
      <c r="K3" s="2"/>
    </row>
    <row r="4" spans="2:11" x14ac:dyDescent="0.25">
      <c r="B4" s="5"/>
      <c r="C4" s="6"/>
      <c r="D4" s="12" t="s">
        <v>1</v>
      </c>
      <c r="E4" s="14"/>
      <c r="F4" s="14"/>
      <c r="G4" s="14"/>
      <c r="H4" s="14"/>
      <c r="I4" s="13"/>
      <c r="J4" s="6"/>
      <c r="K4" s="6"/>
    </row>
    <row r="5" spans="2:11" x14ac:dyDescent="0.25">
      <c r="B5" s="5"/>
      <c r="C5" s="6"/>
      <c r="D5" s="6"/>
      <c r="F5" s="12" t="s">
        <v>19</v>
      </c>
      <c r="G5" s="13"/>
      <c r="H5" s="6"/>
      <c r="I5" s="9"/>
      <c r="J5" s="6"/>
      <c r="K5" s="6"/>
    </row>
    <row r="6" spans="2:11" x14ac:dyDescent="0.25">
      <c r="B6" s="5"/>
      <c r="C6" s="6"/>
      <c r="D6" s="6"/>
      <c r="F6" s="12" t="s">
        <v>20</v>
      </c>
      <c r="G6" s="13"/>
      <c r="H6" s="6"/>
      <c r="I6" s="9"/>
      <c r="J6" s="6"/>
      <c r="K6" s="6"/>
    </row>
    <row r="7" spans="2:11" x14ac:dyDescent="0.25">
      <c r="B7" s="10" t="s">
        <v>18</v>
      </c>
      <c r="C7" s="7" t="s">
        <v>2</v>
      </c>
      <c r="D7" s="7" t="s">
        <v>3</v>
      </c>
      <c r="E7" s="7" t="s">
        <v>4</v>
      </c>
      <c r="F7" s="6" t="s">
        <v>5</v>
      </c>
      <c r="G7" s="6" t="s">
        <v>6</v>
      </c>
      <c r="H7" s="6" t="s">
        <v>7</v>
      </c>
      <c r="I7" s="8" t="s">
        <v>8</v>
      </c>
      <c r="J7" s="7" t="s">
        <v>9</v>
      </c>
      <c r="K7" s="7" t="s">
        <v>10</v>
      </c>
    </row>
    <row r="8" spans="2:11" x14ac:dyDescent="0.25">
      <c r="B8" s="5">
        <v>1</v>
      </c>
      <c r="C8" s="6" t="s">
        <v>11</v>
      </c>
      <c r="D8" s="6">
        <v>100</v>
      </c>
      <c r="E8" s="6">
        <v>23</v>
      </c>
      <c r="F8" s="6">
        <v>30</v>
      </c>
      <c r="G8" s="6">
        <v>30</v>
      </c>
      <c r="H8" s="6">
        <f>(E8+F8+G8)</f>
        <v>83</v>
      </c>
      <c r="I8" s="9">
        <f>(H8/D8)</f>
        <v>0.83</v>
      </c>
      <c r="J8" s="6" t="str">
        <f>IF(I8&gt;=80%,"A",IF(I8&gt;=70%,"B",IF(I8&gt;=60%,"C",IF(I8&gt;=50%,"D",IF(I8&lt;50%,"F")))))</f>
        <v>A</v>
      </c>
      <c r="K8" s="6" t="str">
        <f>IF(I8&gt;=50%,"PASS","FAIL")</f>
        <v>PASS</v>
      </c>
    </row>
    <row r="9" spans="2:11" x14ac:dyDescent="0.25">
      <c r="B9" s="5">
        <v>2</v>
      </c>
      <c r="C9" s="6" t="s">
        <v>12</v>
      </c>
      <c r="D9" s="6">
        <v>100</v>
      </c>
      <c r="E9" s="6">
        <v>12</v>
      </c>
      <c r="F9" s="6">
        <v>24</v>
      </c>
      <c r="G9" s="6">
        <v>38</v>
      </c>
      <c r="H9" s="6">
        <f t="shared" ref="H9:H13" si="0">(E9+F9+G9)</f>
        <v>74</v>
      </c>
      <c r="I9" s="9">
        <f t="shared" ref="I9:I14" si="1">(H9/D9)</f>
        <v>0.74</v>
      </c>
      <c r="J9" s="6" t="str">
        <f t="shared" ref="J9:J14" si="2">IF(I9&gt;=80%,"A",IF(I9&gt;=70%,"B",IF(I9&gt;=60%,"C",IF(I9&gt;=50%,"D",IF(I9&lt;50%,"F")))))</f>
        <v>B</v>
      </c>
      <c r="K9" s="6" t="str">
        <f t="shared" ref="K9:K14" si="3">IF(I9&gt;=50%,"PASS","FAIL")</f>
        <v>PASS</v>
      </c>
    </row>
    <row r="10" spans="2:11" x14ac:dyDescent="0.25">
      <c r="B10" s="5">
        <v>3</v>
      </c>
      <c r="C10" s="6" t="s">
        <v>13</v>
      </c>
      <c r="D10" s="6">
        <v>100</v>
      </c>
      <c r="E10" s="6">
        <v>14</v>
      </c>
      <c r="F10" s="6">
        <v>19</v>
      </c>
      <c r="G10" s="6">
        <v>26</v>
      </c>
      <c r="H10" s="6">
        <f>(E10+F10+G10)</f>
        <v>59</v>
      </c>
      <c r="I10" s="9">
        <f t="shared" si="1"/>
        <v>0.59</v>
      </c>
      <c r="J10" s="6" t="str">
        <f t="shared" si="2"/>
        <v>D</v>
      </c>
      <c r="K10" s="6" t="str">
        <f t="shared" si="3"/>
        <v>PASS</v>
      </c>
    </row>
    <row r="11" spans="2:11" x14ac:dyDescent="0.25">
      <c r="B11" s="5">
        <v>4</v>
      </c>
      <c r="C11" s="6" t="s">
        <v>14</v>
      </c>
      <c r="D11" s="6">
        <v>100</v>
      </c>
      <c r="E11" s="6">
        <v>11</v>
      </c>
      <c r="F11" s="6">
        <v>18</v>
      </c>
      <c r="G11" s="6">
        <v>19</v>
      </c>
      <c r="H11" s="6">
        <f t="shared" si="0"/>
        <v>48</v>
      </c>
      <c r="I11" s="9">
        <f t="shared" si="1"/>
        <v>0.48</v>
      </c>
      <c r="J11" s="6" t="str">
        <f t="shared" si="2"/>
        <v>F</v>
      </c>
      <c r="K11" s="6" t="str">
        <f t="shared" si="3"/>
        <v>FAIL</v>
      </c>
    </row>
    <row r="12" spans="2:11" x14ac:dyDescent="0.25">
      <c r="B12" s="5">
        <v>5</v>
      </c>
      <c r="C12" s="6" t="s">
        <v>15</v>
      </c>
      <c r="D12" s="6">
        <v>100</v>
      </c>
      <c r="E12" s="6">
        <v>16</v>
      </c>
      <c r="F12" s="6">
        <v>32</v>
      </c>
      <c r="G12" s="6">
        <v>28</v>
      </c>
      <c r="H12" s="6">
        <f t="shared" si="0"/>
        <v>76</v>
      </c>
      <c r="I12" s="9">
        <f t="shared" si="1"/>
        <v>0.76</v>
      </c>
      <c r="J12" s="6" t="str">
        <f t="shared" si="2"/>
        <v>B</v>
      </c>
      <c r="K12" s="6" t="str">
        <f t="shared" si="3"/>
        <v>PASS</v>
      </c>
    </row>
    <row r="13" spans="2:11" x14ac:dyDescent="0.25">
      <c r="B13" s="5">
        <v>6</v>
      </c>
      <c r="C13" s="6" t="s">
        <v>16</v>
      </c>
      <c r="D13" s="6">
        <v>100</v>
      </c>
      <c r="E13" s="6">
        <v>20</v>
      </c>
      <c r="F13" s="6">
        <v>25</v>
      </c>
      <c r="G13" s="6">
        <v>38</v>
      </c>
      <c r="H13" s="6">
        <f t="shared" si="0"/>
        <v>83</v>
      </c>
      <c r="I13" s="9">
        <f t="shared" si="1"/>
        <v>0.83</v>
      </c>
      <c r="J13" s="6" t="str">
        <f t="shared" si="2"/>
        <v>A</v>
      </c>
      <c r="K13" s="6" t="str">
        <f t="shared" si="3"/>
        <v>PASS</v>
      </c>
    </row>
    <row r="14" spans="2:11" x14ac:dyDescent="0.25">
      <c r="B14" s="5">
        <v>7</v>
      </c>
      <c r="C14" s="6" t="s">
        <v>17</v>
      </c>
      <c r="D14" s="6">
        <f>SUM(D8:D13)</f>
        <v>600</v>
      </c>
      <c r="E14" s="6">
        <f>SUM(E8:E13)</f>
        <v>96</v>
      </c>
      <c r="F14" s="6">
        <f>SUM(F8,F9:F13)</f>
        <v>148</v>
      </c>
      <c r="G14" s="6">
        <f>SUM(G8:G13)</f>
        <v>179</v>
      </c>
      <c r="H14" s="6">
        <f>SUM(H8:H13)</f>
        <v>423</v>
      </c>
      <c r="I14" s="9">
        <f t="shared" si="1"/>
        <v>0.70499999999999996</v>
      </c>
      <c r="J14" s="6" t="str">
        <f t="shared" si="2"/>
        <v>B</v>
      </c>
      <c r="K14" s="6" t="str">
        <f t="shared" si="3"/>
        <v>PASS</v>
      </c>
    </row>
  </sheetData>
  <mergeCells count="4">
    <mergeCell ref="F1:K1"/>
    <mergeCell ref="F5:G5"/>
    <mergeCell ref="F6:G6"/>
    <mergeCell ref="D4:I4"/>
  </mergeCells>
  <conditionalFormatting sqref="J8:J14">
    <cfRule type="cellIs" dxfId="2" priority="2" operator="equal">
      <formula>"F"</formula>
    </cfRule>
  </conditionalFormatting>
  <conditionalFormatting sqref="K8:K14">
    <cfRule type="cellIs" dxfId="0" priority="1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pakistan</cp:lastModifiedBy>
  <dcterms:created xsi:type="dcterms:W3CDTF">2022-06-07T08:34:18Z</dcterms:created>
  <dcterms:modified xsi:type="dcterms:W3CDTF">2022-06-09T17:18:26Z</dcterms:modified>
</cp:coreProperties>
</file>